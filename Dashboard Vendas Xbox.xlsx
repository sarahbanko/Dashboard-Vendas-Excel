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banko/Downloads/Curso Excel IA/"/>
    </mc:Choice>
  </mc:AlternateContent>
  <xr:revisionPtr revIDLastSave="0" documentId="13_ncr:1_{DDB402B8-2DB6-9747-9838-72437CA52BE8}" xr6:coauthVersionLast="47" xr6:coauthVersionMax="47" xr10:uidLastSave="{00000000-0000-0000-0000-000000000000}"/>
  <bookViews>
    <workbookView xWindow="4440" yWindow="760" windowWidth="24960" windowHeight="16720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22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<sst xmlns="http://schemas.openxmlformats.org/spreadsheetml/2006/main" count="2021" uniqueCount="323">
  <si>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</si>
  <si>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</si>
  <si>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</si>
  <si>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</si>
  <si>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</si>
  <si>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</si>
  <si>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</si>
  <si>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</si>
  <si>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</si>
  <si>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</si>
  <si>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</si>
  <si>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</si>
  <si>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</si>
  <si>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</si>
  <si>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</si>
  <si>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</si>
  <si>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</si>
  <si>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</si>
  <si>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</si>
  <si>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</si>
  <si>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</si>
  <si>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</si>
  <si>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</si>
  <si>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</si>
  <si>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</si>
  <si>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</si>
  <si>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</si>
  <si>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</si>
  <si>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</si>
  <si>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</si>
  <si>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</si>
  <si>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</si>
  <si>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</si>
  <si>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</si>
  <si>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</si>
  <si>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</si>
  <si>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</si>
  <si>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</si>
  <si>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</si>
  <si>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</si>
  <si>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</si>
  <si>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</si>
  <si>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</si>
  <si>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</si>
  <si>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</si>
  <si>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</si>
  <si>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</si>
  <si>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</si>
  <si>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</si>
  <si>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</si>
  <si>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</si>
  <si>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</si>
  <si>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</si>
  <si>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</si>
  <si>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</si>
  <si>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</si>
  <si>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</si>
  <si>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</si>
  <si>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</si>
  <si>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</si>
  <si>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</si>
  <si>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</si>
  <si>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</si>
  <si>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</si>
  <si>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</si>
  <si>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</si>
  <si>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</si>
  <si>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</si>
  <si>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</si>
  <si>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</si>
  <si>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</si>
  <si>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</si>
  <si>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</si>
  <si>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</si>
  <si>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</si>
  <si>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</si>
  <si>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</si>
  <si>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</si>
  <si>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</si>
  <si>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</si>
  <si>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</si>
  <si>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</si>
  <si>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</si>
  <si>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</si>
  <si>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</si>
  <si>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</si>
  <si>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</si>
  <si>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</si>
  <si>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</si>
  <si>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</si>
  <si>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</si>
  <si>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</si>
  <si>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</si>
  <si>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</si>
  <si>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</si>
  <si>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</si>
  <si>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</si>
  <si>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</si>
  <si>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</si>
  <si>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</si>
  <si>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</si>
  <si>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</si>
  <si>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</si>
  <si>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</si>
  <si>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</si>
  <si>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</si>
  <si>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</si>
  <si>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</si>
  <si>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</si>
  <si>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</si>
  <si>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</si>
  <si>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</si>
  <si>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</si>
  <si>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</si>
  <si>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</si>
  <si>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</si>
  <si>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</si>
  <si>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</si>
  <si>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</si>
  <si>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</si>
  <si>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</si>
  <si>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</si>
  <si>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</si>
  <si>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</si>
  <si>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</si>
  <si>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</si>
  <si>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</si>
  <si>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</si>
  <si>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</si>
  <si>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</si>
  <si>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</si>
  <si>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</si>
  <si>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</si>
  <si>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</si>
  <si>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</si>
  <si>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</si>
  <si>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</si>
  <si>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</si>
  <si>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</si>
  <si>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</si>
  <si>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</si>
  <si>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</si>
  <si>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</si>
  <si>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</si>
  <si>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</si>
  <si>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</si>
  <si>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</si>
  <si>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</si>
  <si>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</si>
  <si>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</si>
  <si>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</si>
  <si>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</si>
  <si>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</si>
  <si>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</si>
  <si>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</si>
  <si>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</si>
  <si>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</si>
  <si>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</si>
  <si>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</si>
  <si>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</si>
  <si>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</si>
  <si>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</si>
  <si>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</si>
  <si>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</si>
  <si>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</si>
  <si>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</si>
  <si>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</si>
  <si>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</si>
  <si>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</si>
  <si>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</si>
  <si>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</si>
  <si>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</si>
  <si>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</si>
  <si>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</si>
  <si>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</si>
  <si>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</si>
  <si>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</si>
  <si>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</si>
  <si>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</si>
  <si>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</si>
  <si>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</si>
  <si>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</si>
  <si>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</si>
  <si>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</si>
  <si>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</si>
  <si>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</si>
  <si>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</si>
  <si>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</si>
  <si>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</si>
  <si>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</si>
  <si>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</si>
  <si>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</si>
  <si>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</si>
  <si>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</si>
  <si>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</si>
  <si>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</si>
  <si>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</si>
  <si>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</si>
  <si>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</si>
  <si>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</si>
  <si>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</si>
  <si>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</si>
  <si>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</si>
  <si>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</si>
  <si>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</si>
  <si>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</si>
  <si>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</si>
  <si>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</si>
  <si>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</si>
  <si>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</si>
  <si>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</si>
  <si>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</si>
  <si>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</si>
  <si>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</si>
  <si>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</si>
  <si>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</si>
  <si>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</si>
  <si>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</si>
  <si>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</si>
  <si>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</si>
  <si>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</si>
  <si>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</si>
  <si>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</si>
  <si>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</si>
  <si>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</si>
  <si>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</si>
  <si>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</si>
  <si>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</si>
  <si>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</si>
  <si>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</si>
  <si>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</si>
  <si>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</si>
  <si>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</si>
  <si>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</si>
  <si>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</si>
  <si>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</si>
  <si>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</si>
  <si>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</si>
  <si>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</si>
  <si>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</si>
  <si>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</si>
  <si>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</si>
  <si>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</si>
  <si>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</si>
  <si>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</si>
  <si>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</si>
  <si>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</si>
  <si>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</si>
  <si>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</si>
  <si>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</si>
  <si>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</si>
  <si>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</si>
  <si>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</si>
  <si>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</si>
  <si>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</si>
  <si>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</si>
  <si>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</si>
  <si>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</si>
  <si>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</si>
  <si>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</si>
  <si>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</si>
  <si>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</si>
  <si>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</si>
  <si>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</si>
  <si>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</si>
  <si>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</si>
  <si>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</si>
  <si>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</si>
  <si>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</si>
  <si>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</si>
  <si>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</si>
  <si>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</si>
  <si>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</si>
  <si>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</si>
  <si>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</si>
  <si>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</si>
  <si>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</si>
  <si>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</si>
  <si>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</si>
  <si>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</si>
  <si>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</si>
  <si>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</si>
  <si>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</si>
  <si>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</si>
  <si>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</si>
  <si>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</si>
  <si>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</si>
  <si>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</si>
  <si>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</si>
  <si>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</si>
  <si>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</si>
  <si>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</si>
  <si>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</si>
  <si>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</si>
  <si>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</si>
  <si>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</si>
  <si>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</si>
  <si>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</si>
  <si>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</si>
  <si>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</si>
  <si>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</si>
  <si>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</si>
  <si>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</si>
  <si>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</si>
  <si>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</si>
  <si>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</si>
  <si>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</si>
  <si>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</si>
  <si>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</si>
  <si>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</si>
  <si>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</si>
  <si>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</si>
  <si>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</si>
  <si>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 Qual faturamento </t>
    </r>
    <r>
      <rPr>
        <b/>
        <sz val="11"/>
        <color theme="1"/>
        <rFont val="Aptos Narrow"/>
        <scheme val="minor"/>
      </rPr>
      <t xml:space="preserve">total de vendas </t>
    </r>
    <r>
      <rPr>
        <sz val="11"/>
        <color theme="1"/>
        <rFont val="Aptos Narrow"/>
        <scheme val="minor"/>
      </rPr>
      <t xml:space="preserve">de </t>
    </r>
    <r>
      <rPr>
        <b/>
        <sz val="11"/>
        <color theme="1"/>
        <rFont val="Aptos Narrow"/>
        <scheme val="minor"/>
      </rPr>
      <t>planos anuais (</t>
    </r>
    <r>
      <rPr>
        <sz val="11"/>
        <color theme="1"/>
        <rFont val="Aptos Narrow"/>
        <scheme val="minor"/>
      </rPr>
      <t>contendo todas as assinaturas agregadas)</t>
    </r>
  </si>
  <si>
    <t>Rótulos de Linha</t>
  </si>
  <si>
    <t>Total Geral</t>
  </si>
  <si>
    <t>Soma de Total Value</t>
  </si>
  <si>
    <r>
      <t xml:space="preserve">Pergunta de negócio 2 - 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(separado por auto renovação ou que não é)</t>
    </r>
  </si>
  <si>
    <t>XBOX GAME PASS SUBSCRIPTIONS SALES</t>
  </si>
  <si>
    <t>Soma de EA Play Season Pass
Price</t>
  </si>
  <si>
    <t>Pergunta de negócio 3 - Total de Vendas de Assinaturas do EA Play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</si>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</sst>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theme="3"/>
      <name val="Segoe UI"/>
    </font>
    <font>
      <b/>
      <sz val="15"/>
      <color rgb="FF22C55E"/>
      <name val="Segoe U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6" fillId="0" borderId="2" xfId="1" applyFont="1" applyBorder="1"/>
    <xf numFmtId="164" fontId="0" fillId="0" borderId="0" xfId="0" applyNumberFormat="1"/>
    <xf numFmtId="0" fontId="0" fillId="0" borderId="2" xfId="0" applyBorder="1"/>
    <xf numFmtId="0" fontId="7" fillId="0" borderId="2" xfId="1" applyFont="1" applyBorder="1" applyAlignment="1">
      <alignment horizontal="left" indent="7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20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66F4A361-8D16-F34F-A467-D83CDF82A539}">
      <tableStyleElement type="wholeTable" dxfId="19"/>
      <tableStyleElement type="headerRow" dxfId="18"/>
    </tableStyle>
  </tableStyles>
  <colors>
    <mruColors>
      <color rgb="FF22C55E"/>
      <color rgb="FF2AE6B1"/>
      <color rgb="FF5BF6A8"/>
      <color rgb="FFE8E6E9"/>
      <color rgb="FF8ED973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Xbox.xlsx]C̳álculos!tbl_annual_total</c:name>
    <c:fmtId val="2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09870728775726E-2"/>
          <c:y val="0.10208809005257323"/>
          <c:w val="0.95190129271224277"/>
          <c:h val="0.897911832946635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8F-6D4C-BC30-E9218037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10122704"/>
        <c:axId val="1832452815"/>
      </c:barChart>
      <c:catAx>
        <c:axId val="1810122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2452815"/>
        <c:crosses val="autoZero"/>
        <c:auto val="1"/>
        <c:lblAlgn val="ctr"/>
        <c:lblOffset val="100"/>
        <c:noMultiLvlLbl val="0"/>
      </c:catAx>
      <c:valAx>
        <c:axId val="18324528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8101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20775" y="5435599"/>
          <a:ext cx="17399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1874837</xdr:colOff>
      <xdr:row>0</xdr:row>
      <xdr:rowOff>0</xdr:rowOff>
    </xdr:from>
    <xdr:to>
      <xdr:col>2</xdr:col>
      <xdr:colOff>366714</xdr:colOff>
      <xdr:row>4</xdr:row>
      <xdr:rowOff>238124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DD91FC-FE0F-134B-8E7F-0BBA39851C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0" r="71259" b="2162"/>
        <a:stretch>
          <a:fillRect/>
        </a:stretch>
      </xdr:blipFill>
      <xdr:spPr>
        <a:xfrm>
          <a:off x="1874837" y="0"/>
          <a:ext cx="1000127" cy="1285874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4</xdr:row>
      <xdr:rowOff>635000</xdr:rowOff>
    </xdr:from>
    <xdr:to>
      <xdr:col>0</xdr:col>
      <xdr:colOff>1955800</xdr:colOff>
      <xdr:row>6</xdr:row>
      <xdr:rowOff>1000119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1FD46958-836C-2F47-BD45-0404F69031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000" y="1695275"/>
              <a:ext cx="1828800" cy="24157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222251</xdr:colOff>
      <xdr:row>6</xdr:row>
      <xdr:rowOff>231774</xdr:rowOff>
    </xdr:from>
    <xdr:to>
      <xdr:col>17</xdr:col>
      <xdr:colOff>381001</xdr:colOff>
      <xdr:row>18</xdr:row>
      <xdr:rowOff>15874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340E05B-5DF4-7249-B4A5-7FC8BACA3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261938</xdr:colOff>
      <xdr:row>4</xdr:row>
      <xdr:rowOff>216380</xdr:rowOff>
    </xdr:from>
    <xdr:to>
      <xdr:col>8</xdr:col>
      <xdr:colOff>547688</xdr:colOff>
      <xdr:row>5</xdr:row>
      <xdr:rowOff>708505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C52C0444-6724-3497-AE1F-65FCB9C75DBD}"/>
            </a:ext>
          </a:extLst>
        </xdr:cNvPr>
        <xdr:cNvGrpSpPr/>
      </xdr:nvGrpSpPr>
      <xdr:grpSpPr>
        <a:xfrm>
          <a:off x="2335883" y="1276655"/>
          <a:ext cx="4573456" cy="1517446"/>
          <a:chOff x="2595561" y="1349374"/>
          <a:chExt cx="4040189" cy="1362555"/>
        </a:xfrm>
      </xdr:grpSpPr>
      <xdr:sp macro="" textlink="">
        <xdr:nvSpPr>
          <xdr:cNvPr id="9" name="Retângulo Arredondado 8">
            <a:extLst>
              <a:ext uri="{FF2B5EF4-FFF2-40B4-BE49-F238E27FC236}">
                <a16:creationId xmlns:a16="http://schemas.microsoft.com/office/drawing/2014/main" id="{FE1E11BB-912F-7CC8-64D4-C042591FE657}"/>
              </a:ext>
            </a:extLst>
          </xdr:cNvPr>
          <xdr:cNvSpPr/>
        </xdr:nvSpPr>
        <xdr:spPr>
          <a:xfrm>
            <a:off x="2603500" y="1365250"/>
            <a:ext cx="4032250" cy="125412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2">
        <xdr:nvSpPr>
          <xdr:cNvPr id="10" name="Retângulo Arredondado 9">
            <a:extLst>
              <a:ext uri="{FF2B5EF4-FFF2-40B4-BE49-F238E27FC236}">
                <a16:creationId xmlns:a16="http://schemas.microsoft.com/office/drawing/2014/main" id="{679C42D8-CF99-E012-2BEA-002B4DC41026}"/>
              </a:ext>
            </a:extLst>
          </xdr:cNvPr>
          <xdr:cNvSpPr/>
        </xdr:nvSpPr>
        <xdr:spPr>
          <a:xfrm>
            <a:off x="4365625" y="1895041"/>
            <a:ext cx="1905000" cy="54109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901D76C-4460-AC45-A1A3-C5D75830066B}" type="TxLink">
              <a:rPr lang="en-US" sz="28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R$ 600,00 </a:t>
            </a:fld>
            <a:endParaRPr lang="pt-BR" sz="2800" b="0">
              <a:solidFill>
                <a:srgbClr val="2AE6B1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91165FEE-D81F-7D41-AD0D-1988E68436E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952750" y="1619250"/>
            <a:ext cx="1206500" cy="1092679"/>
          </a:xfrm>
          <a:prstGeom prst="rect">
            <a:avLst/>
          </a:prstGeom>
        </xdr:spPr>
      </xdr:pic>
      <xdr:sp macro="" textlink="">
        <xdr:nvSpPr>
          <xdr:cNvPr id="12" name="Retângulo com Canto Arredondado do Mesmo Lado 11">
            <a:extLst>
              <a:ext uri="{FF2B5EF4-FFF2-40B4-BE49-F238E27FC236}">
                <a16:creationId xmlns:a16="http://schemas.microsoft.com/office/drawing/2014/main" id="{504F9775-C443-5B8E-AB93-FC1D00212FF0}"/>
              </a:ext>
            </a:extLst>
          </xdr:cNvPr>
          <xdr:cNvSpPr/>
        </xdr:nvSpPr>
        <xdr:spPr>
          <a:xfrm>
            <a:off x="2595561" y="1349374"/>
            <a:ext cx="4040189" cy="444501"/>
          </a:xfrm>
          <a:prstGeom prst="round2SameRect">
            <a:avLst>
              <a:gd name="adj1" fmla="val 4629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EA PLAY SEASON PASS</a:t>
            </a:r>
          </a:p>
        </xdr:txBody>
      </xdr:sp>
    </xdr:grpSp>
    <xdr:clientData/>
  </xdr:twoCellAnchor>
  <xdr:twoCellAnchor>
    <xdr:from>
      <xdr:col>10</xdr:col>
      <xdr:colOff>158750</xdr:colOff>
      <xdr:row>4</xdr:row>
      <xdr:rowOff>216380</xdr:rowOff>
    </xdr:from>
    <xdr:to>
      <xdr:col>17</xdr:col>
      <xdr:colOff>222250</xdr:colOff>
      <xdr:row>5</xdr:row>
      <xdr:rowOff>604985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EDFD1D8-D02C-EE4E-ED2A-7380AF4B973C}"/>
            </a:ext>
          </a:extLst>
        </xdr:cNvPr>
        <xdr:cNvGrpSpPr/>
      </xdr:nvGrpSpPr>
      <xdr:grpSpPr>
        <a:xfrm>
          <a:off x="7871961" y="1276655"/>
          <a:ext cx="4619188" cy="1413926"/>
          <a:chOff x="8016875" y="1254125"/>
          <a:chExt cx="4556125" cy="1420480"/>
        </a:xfrm>
      </xdr:grpSpPr>
      <xdr:sp macro="" textlink="">
        <xdr:nvSpPr>
          <xdr:cNvPr id="23" name="Retângulo Arredondado 22">
            <a:extLst>
              <a:ext uri="{FF2B5EF4-FFF2-40B4-BE49-F238E27FC236}">
                <a16:creationId xmlns:a16="http://schemas.microsoft.com/office/drawing/2014/main" id="{4A78531D-B6D1-5BF0-1EA8-79824A1B721F}"/>
              </a:ext>
            </a:extLst>
          </xdr:cNvPr>
          <xdr:cNvSpPr/>
        </xdr:nvSpPr>
        <xdr:spPr>
          <a:xfrm>
            <a:off x="8025828" y="1271882"/>
            <a:ext cx="4547172" cy="1402723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4">
        <xdr:nvSpPr>
          <xdr:cNvPr id="24" name="Retângulo Arredondado 23">
            <a:extLst>
              <a:ext uri="{FF2B5EF4-FFF2-40B4-BE49-F238E27FC236}">
                <a16:creationId xmlns:a16="http://schemas.microsoft.com/office/drawing/2014/main" id="{EE01731C-242D-D46D-8917-32D94931900A}"/>
              </a:ext>
            </a:extLst>
          </xdr:cNvPr>
          <xdr:cNvSpPr/>
        </xdr:nvSpPr>
        <xdr:spPr>
          <a:xfrm>
            <a:off x="10012978" y="1864447"/>
            <a:ext cx="2148270" cy="60521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A7B002A-79E9-9740-8E5B-73F183B2845E}" type="TxLink">
              <a:rPr lang="en-US" sz="2800" b="0" i="0" u="none" strike="noStrike">
                <a:solidFill>
                  <a:srgbClr val="2AE6B1"/>
                </a:solidFill>
                <a:latin typeface="Aptos Narrow"/>
              </a:rPr>
              <a:pPr algn="ctr"/>
              <a:t> R$ 940,00 </a:t>
            </a:fld>
            <a:endParaRPr lang="pt-BR" sz="2800" b="0">
              <a:solidFill>
                <a:srgbClr val="2AE6B1"/>
              </a:solidFill>
            </a:endParaRPr>
          </a:p>
        </xdr:txBody>
      </xdr:sp>
      <xdr:sp macro="" textlink="">
        <xdr:nvSpPr>
          <xdr:cNvPr id="26" name="Retângulo com Canto Arredondado do Mesmo Lado 25">
            <a:extLst>
              <a:ext uri="{FF2B5EF4-FFF2-40B4-BE49-F238E27FC236}">
                <a16:creationId xmlns:a16="http://schemas.microsoft.com/office/drawing/2014/main" id="{15C688E8-6AA8-9BA0-128E-1DA3B9AE9BC4}"/>
              </a:ext>
            </a:extLst>
          </xdr:cNvPr>
          <xdr:cNvSpPr/>
        </xdr:nvSpPr>
        <xdr:spPr>
          <a:xfrm>
            <a:off x="8016875" y="1254125"/>
            <a:ext cx="4556125" cy="497169"/>
          </a:xfrm>
          <a:prstGeom prst="round2SameRect">
            <a:avLst>
              <a:gd name="adj1" fmla="val 46297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 MINECRAFT SEASON PASS</a:t>
            </a:r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27DC8A00-3028-7B43-9F45-AE2EB67CBF75}"/>
              </a:ext>
            </a:extLst>
          </xdr:cNvPr>
          <xdr:cNvGrpSpPr/>
        </xdr:nvGrpSpPr>
        <xdr:grpSpPr>
          <a:xfrm>
            <a:off x="8778875" y="1913052"/>
            <a:ext cx="936625" cy="508000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B054B505-912A-8D06-C465-9FA098CBE0A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D38E369E-0847-3B36-D632-23229B2A823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708025</xdr:colOff>
      <xdr:row>1</xdr:row>
      <xdr:rowOff>135050</xdr:rowOff>
    </xdr:from>
    <xdr:to>
      <xdr:col>0</xdr:col>
      <xdr:colOff>1374775</xdr:colOff>
      <xdr:row>2</xdr:row>
      <xdr:rowOff>230300</xdr:rowOff>
    </xdr:to>
    <xdr:sp macro="" textlink="">
      <xdr:nvSpPr>
        <xdr:cNvPr id="31" name="Elipse 8">
          <a:extLst>
            <a:ext uri="{FF2B5EF4-FFF2-40B4-BE49-F238E27FC236}">
              <a16:creationId xmlns:a16="http://schemas.microsoft.com/office/drawing/2014/main" id="{34A43F15-FF44-C540-ACD4-A258822B42E2}"/>
            </a:ext>
          </a:extLst>
        </xdr:cNvPr>
        <xdr:cNvSpPr/>
      </xdr:nvSpPr>
      <xdr:spPr>
        <a:xfrm>
          <a:off x="708025" y="325550"/>
          <a:ext cx="666750" cy="58737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295275</xdr:colOff>
      <xdr:row>4</xdr:row>
      <xdr:rowOff>79375</xdr:rowOff>
    </xdr:from>
    <xdr:to>
      <xdr:col>0</xdr:col>
      <xdr:colOff>1787525</xdr:colOff>
      <xdr:row>4</xdr:row>
      <xdr:rowOff>412750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4B35070B-ADD7-EEB9-6A96-C0EF5051D090}"/>
            </a:ext>
          </a:extLst>
        </xdr:cNvPr>
        <xdr:cNvSpPr/>
      </xdr:nvSpPr>
      <xdr:spPr>
        <a:xfrm>
          <a:off x="295275" y="1127125"/>
          <a:ext cx="14922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/>
            <a:t>&gt; Bem</a:t>
          </a:r>
          <a:r>
            <a:rPr lang="pt-BR" sz="1200" baseline="0"/>
            <a:t> vinda, Liana</a:t>
          </a:r>
          <a:endParaRPr lang="pt-BR" sz="1200"/>
        </a:p>
      </xdr:txBody>
    </xdr:sp>
    <xdr:clientData/>
  </xdr:twoCellAnchor>
  <xdr:twoCellAnchor editAs="absolute">
    <xdr:from>
      <xdr:col>1</xdr:col>
      <xdr:colOff>260321</xdr:colOff>
      <xdr:row>2</xdr:row>
      <xdr:rowOff>264924</xdr:rowOff>
    </xdr:from>
    <xdr:to>
      <xdr:col>8</xdr:col>
      <xdr:colOff>547615</xdr:colOff>
      <xdr:row>4</xdr:row>
      <xdr:rowOff>225455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F6F5143D-0F86-0341-B42A-32D032CD6BF3}"/>
            </a:ext>
          </a:extLst>
        </xdr:cNvPr>
        <xdr:cNvSpPr/>
      </xdr:nvSpPr>
      <xdr:spPr>
        <a:xfrm>
          <a:off x="2334266" y="952355"/>
          <a:ext cx="457500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chemeClr val="bg1">
                  <a:lumMod val="50000"/>
                </a:schemeClr>
              </a:solidFill>
            </a:rPr>
            <a:t>Calculation</a:t>
          </a:r>
          <a:r>
            <a:rPr lang="pt-BR" sz="1000" baseline="0">
              <a:solidFill>
                <a:schemeClr val="bg1">
                  <a:lumMod val="50000"/>
                </a:schemeClr>
              </a:solidFill>
            </a:rPr>
            <a:t> period</a:t>
          </a:r>
          <a:r>
            <a:rPr lang="pt-BR" sz="1000">
              <a:solidFill>
                <a:schemeClr val="bg1">
                  <a:lumMod val="50000"/>
                </a:schemeClr>
              </a:solidFill>
            </a:rPr>
            <a:t>: 01/01/2024 à 31/12/2024 | Update date:</a:t>
          </a:r>
          <a:r>
            <a:rPr lang="pt-BR" sz="1000" baseline="0">
              <a:solidFill>
                <a:schemeClr val="bg1">
                  <a:lumMod val="50000"/>
                </a:schemeClr>
              </a:solidFill>
            </a:rPr>
            <a:t> 25/12/2024 09:00:00</a:t>
          </a:r>
          <a:endParaRPr lang="pt-BR" sz="10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0.18166</cdr:y>
    </cdr:to>
    <cdr:sp macro="" textlink="">
      <cdr:nvSpPr>
        <cdr:cNvPr id="5" name="Retângulo com Canto Arredondado do Mesmo Lado 4">
          <a:extLst xmlns:a="http://schemas.openxmlformats.org/drawingml/2006/main">
            <a:ext uri="{FF2B5EF4-FFF2-40B4-BE49-F238E27FC236}">
              <a16:creationId xmlns:a16="http://schemas.microsoft.com/office/drawing/2014/main" id="{504F9775-C443-5B8E-AB93-FC1D00212FF0}"/>
            </a:ext>
          </a:extLst>
        </cdr:cNvPr>
        <cdr:cNvSpPr/>
      </cdr:nvSpPr>
      <cdr:spPr>
        <a:xfrm xmlns:a="http://schemas.openxmlformats.org/drawingml/2006/main">
          <a:off x="0" y="0"/>
          <a:ext cx="10191750" cy="497169"/>
        </a:xfrm>
        <a:prstGeom xmlns:a="http://schemas.openxmlformats.org/drawingml/2006/main" prst="round2SameRect">
          <a:avLst>
            <a:gd name="adj1" fmla="val 1"/>
            <a:gd name="adj2" fmla="val 0"/>
          </a:avLst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2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</a:t>
          </a:r>
          <a:r>
            <a:rPr lang="pt-BR" sz="12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SUBSCRIPTION XBOX GAME PASS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14.493057291664" createdVersion="8" refreshedVersion="8" minRefreshableVersion="3" recordCount="295" xr:uid="{FF189E25-BFAF-E842-80FD-768AB06F8671}">
  <cacheSource type="worksheet">
    <worksheetSource name="tbl_dado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3034644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61C528-62E1-4D4C-B523-93BA439BD78D}" name="Tabela dinâmica6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30:C34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1"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7F799-2919-074C-9920-4B8ED81CBC09}" name="tbl_easeason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18:C22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_x000a_Price" fld="8" baseField="0" baseItem="0"/>
  </dataFields>
  <formats count="1">
    <format dxfId="3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AD0AA8-343C-A24C-8841-43E7B859CF8C}" name="tbl_annual_total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7:C10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8A90B75-007C-AF47-97BF-BC5816905602}" sourceName="Subscription Type">
  <pivotTables>
    <pivotTable tabId="3" name="tbl_annual_total"/>
    <pivotTable tabId="3" name="tbl_easeason_total"/>
    <pivotTable tabId="3" name="Tabela dinâmica6"/>
  </pivotTables>
  <data>
    <tabular pivotCacheId="163034644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D919C34-89A6-8548-94FE-D342D5715598}" cache="SegmentaçãodeDados_Subscription_Type" caption="Subscription Type" style="SlicerStyleLight6 2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dados" displayName="tbl_dados" ref="A1:M296" totalsRowShown="0" dataDxfId="17">
  <autoFilter ref="A1:M296" xr:uid="{34E0E886-4200-4B36-97B3-63DB74FF40A0}"/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baseColWidth="10" defaultColWidth="8.83203125" defaultRowHeight="15" x14ac:dyDescent="0.2"/>
  <cols>
    <col min="9" max="9" width="3.5" customWidth="1"/>
  </cols>
  <sheetData>
    <row r="3" spans="2:16" ht="21" thickBot="1" x14ac:dyDescent="0.3">
      <c r="B3" s="1" t="s">
        <v>0</v>
      </c>
      <c r="C3" s="1"/>
      <c r="D3" s="1"/>
      <c r="E3" s="1"/>
      <c r="F3" s="1"/>
      <c r="G3" s="1"/>
      <c r="H3" s="1"/>
    </row>
    <row r="4" spans="2:16" ht="16" thickTop="1" x14ac:dyDescent="0.2"/>
    <row r="5" spans="2:16" x14ac:dyDescent="0.2">
      <c r="B5" s="3" t="s">
        <v>2</v>
      </c>
      <c r="C5" t="s">
        <v>8</v>
      </c>
      <c r="E5" s="7" t="s">
        <v>6</v>
      </c>
      <c r="F5" t="s">
        <v>7</v>
      </c>
    </row>
    <row r="6" spans="2:16" x14ac:dyDescent="0.2">
      <c r="B6" s="4" t="s">
        <v>3</v>
      </c>
      <c r="C6" t="s">
        <v>8</v>
      </c>
    </row>
    <row r="7" spans="2:16" x14ac:dyDescent="0.2">
      <c r="B7" s="5" t="s">
        <v>4</v>
      </c>
      <c r="C7" t="s">
        <v>9</v>
      </c>
    </row>
    <row r="8" spans="2:16" x14ac:dyDescent="0.2">
      <c r="B8" s="6" t="s">
        <v>5</v>
      </c>
      <c r="C8" t="s">
        <v>9</v>
      </c>
    </row>
    <row r="12" spans="2:16" ht="21" thickBot="1" x14ac:dyDescent="0.3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6" thickTop="1" x14ac:dyDescent="0.2">
      <c r="B13" s="2"/>
      <c r="C13" s="2"/>
      <c r="D13" s="2"/>
      <c r="E13" s="2"/>
      <c r="F13" s="2"/>
      <c r="G13" s="2"/>
      <c r="H13" s="2"/>
    </row>
    <row r="14" spans="2:16" x14ac:dyDescent="0.2">
      <c r="B14" s="2"/>
      <c r="C14" s="2"/>
      <c r="D14" s="2"/>
      <c r="E14" s="2"/>
      <c r="F14" s="2"/>
      <c r="G14" s="2"/>
      <c r="H14" s="2"/>
    </row>
    <row r="15" spans="2:16" x14ac:dyDescent="0.2">
      <c r="B15" s="2"/>
      <c r="C15" s="2"/>
      <c r="D15" s="2"/>
      <c r="E15" s="2"/>
      <c r="F15" s="2"/>
      <c r="G15" s="2"/>
      <c r="H15" s="2"/>
    </row>
    <row r="16" spans="2:1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sqref="A1:M296"/>
    </sheetView>
  </sheetViews>
  <sheetFormatPr baseColWidth="10" defaultColWidth="8.83203125" defaultRowHeight="15" x14ac:dyDescent="0.2"/>
  <cols>
    <col min="1" max="1" width="17.83203125" bestFit="1" customWidth="1"/>
    <col min="2" max="2" width="18.83203125" bestFit="1" customWidth="1"/>
    <col min="3" max="3" width="10.1640625" bestFit="1" customWidth="1"/>
    <col min="4" max="4" width="14.1640625" bestFit="1" customWidth="1"/>
    <col min="5" max="5" width="17.33203125" bestFit="1" customWidth="1"/>
    <col min="6" max="6" width="14.6640625" bestFit="1" customWidth="1"/>
    <col min="7" max="7" width="22" bestFit="1" customWidth="1"/>
    <col min="8" max="8" width="20.5" bestFit="1" customWidth="1"/>
    <col min="9" max="9" width="20.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" bestFit="1" customWidth="1"/>
  </cols>
  <sheetData>
    <row r="1" spans="1:13" ht="32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4"/>
  <sheetViews>
    <sheetView showGridLines="0" workbookViewId="0">
      <selection activeCell="B26" sqref="B26"/>
    </sheetView>
  </sheetViews>
  <sheetFormatPr baseColWidth="10" defaultColWidth="8.83203125" defaultRowHeight="15" x14ac:dyDescent="0.2"/>
  <cols>
    <col min="2" max="2" width="16.1640625" bestFit="1" customWidth="1"/>
    <col min="3" max="3" width="30.1640625" bestFit="1" customWidth="1"/>
    <col min="4" max="4" width="18.6640625" customWidth="1"/>
    <col min="5" max="5" width="11.5" bestFit="1" customWidth="1"/>
    <col min="6" max="6" width="19.1640625" bestFit="1" customWidth="1"/>
    <col min="7" max="7" width="27.6640625" bestFit="1" customWidth="1"/>
    <col min="8" max="8" width="5.5" customWidth="1"/>
    <col min="9" max="9" width="21.1640625" bestFit="1" customWidth="1"/>
    <col min="10" max="11" width="35.1640625" bestFit="1" customWidth="1"/>
    <col min="12" max="15" width="9.6640625" bestFit="1" customWidth="1"/>
    <col min="16" max="16" width="15.5" bestFit="1" customWidth="1"/>
    <col min="17" max="17" width="12.1640625" bestFit="1" customWidth="1"/>
  </cols>
  <sheetData>
    <row r="3" spans="2:3" x14ac:dyDescent="0.2">
      <c r="B3" t="s">
        <v>313</v>
      </c>
    </row>
    <row r="4" spans="2:3" x14ac:dyDescent="0.2">
      <c r="B4" t="s">
        <v>317</v>
      </c>
    </row>
    <row r="5" spans="2:3" x14ac:dyDescent="0.2">
      <c r="B5" s="12" t="s">
        <v>16</v>
      </c>
      <c r="C5" t="s">
        <v>24</v>
      </c>
    </row>
    <row r="7" spans="2:3" x14ac:dyDescent="0.2">
      <c r="B7" s="12" t="s">
        <v>314</v>
      </c>
      <c r="C7" t="s">
        <v>316</v>
      </c>
    </row>
    <row r="8" spans="2:3" x14ac:dyDescent="0.2">
      <c r="B8" s="13" t="s">
        <v>23</v>
      </c>
      <c r="C8" s="14">
        <v>217</v>
      </c>
    </row>
    <row r="9" spans="2:3" x14ac:dyDescent="0.2">
      <c r="B9" s="13" t="s">
        <v>19</v>
      </c>
      <c r="C9" s="14">
        <v>1537</v>
      </c>
    </row>
    <row r="10" spans="2:3" x14ac:dyDescent="0.2">
      <c r="B10" s="13" t="s">
        <v>315</v>
      </c>
      <c r="C10" s="14">
        <v>1754</v>
      </c>
    </row>
    <row r="13" spans="2:3" x14ac:dyDescent="0.2">
      <c r="B13" s="13" t="s">
        <v>320</v>
      </c>
    </row>
    <row r="16" spans="2:3" x14ac:dyDescent="0.2">
      <c r="B16" s="12" t="s">
        <v>16</v>
      </c>
      <c r="C16" t="s">
        <v>24</v>
      </c>
    </row>
    <row r="18" spans="2:5" x14ac:dyDescent="0.2">
      <c r="B18" s="12" t="s">
        <v>314</v>
      </c>
      <c r="C18" t="s">
        <v>319</v>
      </c>
    </row>
    <row r="19" spans="2:5" x14ac:dyDescent="0.2">
      <c r="B19" s="13" t="s">
        <v>22</v>
      </c>
      <c r="C19" s="19">
        <v>0</v>
      </c>
      <c r="E19" s="16"/>
    </row>
    <row r="20" spans="2:5" x14ac:dyDescent="0.2">
      <c r="B20" s="13" t="s">
        <v>26</v>
      </c>
      <c r="C20" s="19">
        <v>0</v>
      </c>
    </row>
    <row r="21" spans="2:5" x14ac:dyDescent="0.2">
      <c r="B21" s="13" t="s">
        <v>18</v>
      </c>
      <c r="C21" s="19">
        <v>600</v>
      </c>
    </row>
    <row r="22" spans="2:5" x14ac:dyDescent="0.2">
      <c r="B22" s="13" t="s">
        <v>315</v>
      </c>
      <c r="C22" s="16">
        <v>600</v>
      </c>
      <c r="E22" s="14">
        <f>GETPIVOTDATA("EA Play Season Pass
Price",$B$18)</f>
        <v>600</v>
      </c>
    </row>
    <row r="26" spans="2:5" x14ac:dyDescent="0.2">
      <c r="B26" t="s">
        <v>321</v>
      </c>
    </row>
    <row r="28" spans="2:5" x14ac:dyDescent="0.2">
      <c r="B28" s="12" t="s">
        <v>16</v>
      </c>
      <c r="C28" t="s">
        <v>24</v>
      </c>
    </row>
    <row r="30" spans="2:5" x14ac:dyDescent="0.2">
      <c r="B30" s="12" t="s">
        <v>314</v>
      </c>
      <c r="C30" t="s">
        <v>322</v>
      </c>
    </row>
    <row r="31" spans="2:5" x14ac:dyDescent="0.2">
      <c r="B31" s="13" t="s">
        <v>22</v>
      </c>
      <c r="C31" s="14">
        <v>0</v>
      </c>
    </row>
    <row r="32" spans="2:5" x14ac:dyDescent="0.2">
      <c r="B32" s="13" t="s">
        <v>26</v>
      </c>
      <c r="C32" s="14">
        <v>540</v>
      </c>
    </row>
    <row r="33" spans="2:5" x14ac:dyDescent="0.2">
      <c r="B33" s="13" t="s">
        <v>18</v>
      </c>
      <c r="C33" s="14">
        <v>400</v>
      </c>
    </row>
    <row r="34" spans="2:5" x14ac:dyDescent="0.2">
      <c r="B34" s="13" t="s">
        <v>315</v>
      </c>
      <c r="C34" s="16">
        <v>940</v>
      </c>
      <c r="E34" s="14">
        <f>GETPIVOTDATA("Minecraft Season Pass Price",$B$30)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8"/>
  <sheetViews>
    <sheetView showGridLines="0" showRowColHeaders="0" tabSelected="1" zoomScale="109" zoomScaleNormal="99" workbookViewId="0">
      <selection activeCell="R3" sqref="R3"/>
    </sheetView>
  </sheetViews>
  <sheetFormatPr baseColWidth="10" defaultColWidth="8.83203125" defaultRowHeight="15" x14ac:dyDescent="0.2"/>
  <cols>
    <col min="1" max="1" width="27.1640625" style="4" customWidth="1"/>
    <col min="2" max="2" width="5.83203125" style="7" customWidth="1"/>
    <col min="3" max="3" width="6.1640625" style="7" customWidth="1"/>
    <col min="4" max="11" width="8.83203125" style="7"/>
    <col min="12" max="12" width="6.5" style="7" customWidth="1"/>
    <col min="13" max="16384" width="8.83203125" style="7"/>
  </cols>
  <sheetData>
    <row r="1" spans="1:18" customFormat="1" x14ac:dyDescent="0.2">
      <c r="A1" s="4"/>
    </row>
    <row r="2" spans="1:18" customFormat="1" ht="39" customHeight="1" thickBot="1" x14ac:dyDescent="0.4">
      <c r="A2" s="4"/>
      <c r="C2" s="18" t="s">
        <v>318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</row>
    <row r="3" spans="1:18" customFormat="1" ht="21" customHeight="1" thickTop="1" x14ac:dyDescent="0.2">
      <c r="A3" s="4"/>
    </row>
    <row r="4" spans="1:18" ht="8.25" customHeight="1" x14ac:dyDescent="0.2"/>
    <row r="5" spans="1:18" ht="81" customHeight="1" x14ac:dyDescent="0.2"/>
    <row r="6" spans="1:18" ht="81" customHeight="1" x14ac:dyDescent="0.2"/>
    <row r="7" spans="1:18" ht="81" customHeight="1" x14ac:dyDescent="0.2"/>
    <row r="8" spans="1:18" ht="33" customHeight="1" x14ac:dyDescent="0.2"/>
  </sheetData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Sarah Banko</cp:lastModifiedBy>
  <dcterms:created xsi:type="dcterms:W3CDTF">2024-12-19T13:13:10Z</dcterms:created>
  <dcterms:modified xsi:type="dcterms:W3CDTF">2025-12-23T21:06:13Z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